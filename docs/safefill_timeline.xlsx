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meline" sheetId="2" state="visible" r:id="rId4"/>
    <sheet name="Gantt" sheetId="3" state="visible" r:id="rId5"/>
    <sheet name="Your actions" sheetId="4" state="visible" r:id="rId6"/>
    <sheet name="Assumptions" sheetId="5" state="visible" r:id="rId7"/>
  </sheets>
  <definedNames>
    <definedName function="false" hidden="true" localSheetId="1" name="_xlnm._FilterDatabase" vbProcedure="false">Timeline!$A$4:$K$25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First day of the chart (input). Every other date is this +1.</t>
        </r>
      </text>
    </comment>
  </commentList>
</comments>
</file>

<file path=xl/sharedStrings.xml><?xml version="1.0" encoding="utf-8"?>
<sst xmlns="http://schemas.openxmlformats.org/spreadsheetml/2006/main" count="281" uniqueCount="228">
  <si>
    <t xml:space="preserve">Summary: hours, rate, price and key dates</t>
  </si>
  <si>
    <t xml:space="preserve">Yellow cells with blue text are inputs. Everything else is calculated.</t>
  </si>
  <si>
    <t xml:space="preserve">Item</t>
  </si>
  <si>
    <t xml:space="preserve">Value</t>
  </si>
  <si>
    <t xml:space="preserve">Notes</t>
  </si>
  <si>
    <t xml:space="preserve">Hourly rate (USD)</t>
  </si>
  <si>
    <t xml:space="preserve">Input. Change it and the price below updates.</t>
  </si>
  <si>
    <t xml:space="preserve">Estimated hours (all build steps)</t>
  </si>
  <si>
    <t xml:space="preserve">Sum of the Hours column on the Timeline sheet.</t>
  </si>
  <si>
    <t xml:space="preserve">Fixed price (USD)</t>
  </si>
  <si>
    <t xml:space="preserve">Hours x rate. Fixes during the Oct 16 to Nov 1 acceptance window are included.</t>
  </si>
  <si>
    <t xml:space="preserve">Contract start</t>
  </si>
  <si>
    <t xml:space="preserve">Working build</t>
  </si>
  <si>
    <t xml:space="preserve">Hard deadline</t>
  </si>
  <si>
    <t xml:space="preserve">Working days in the build</t>
  </si>
  <si>
    <t xml:space="preserve">Average hours per working day</t>
  </si>
  <si>
    <t xml:space="preserve">Calendar days of buffer before the deadline</t>
  </si>
  <si>
    <t xml:space="preserve">Covers Web Store review turnaround and acceptance fixes.</t>
  </si>
  <si>
    <t xml:space="preserve">Hours by phase</t>
  </si>
  <si>
    <t xml:space="preserve">Phase</t>
  </si>
  <si>
    <t xml:space="preserve">Hours</t>
  </si>
  <si>
    <t xml:space="preserve">Share of total</t>
  </si>
  <si>
    <t xml:space="preserve">Release engineering</t>
  </si>
  <si>
    <t xml:space="preserve">CI and trust</t>
  </si>
  <si>
    <t xml:space="preserve">Extension</t>
  </si>
  <si>
    <t xml:space="preserve">Safety layer</t>
  </si>
  <si>
    <t xml:space="preserve">Testing</t>
  </si>
  <si>
    <t xml:space="preserve">Docs</t>
  </si>
  <si>
    <t xml:space="preserve">Communication</t>
  </si>
  <si>
    <t xml:space="preserve">Check: phases add up to the total</t>
  </si>
  <si>
    <t xml:space="preserve">Prepared by James for the Manifest V3 form-fill extension post. Source of every number: this workbook (estimates by James).</t>
  </si>
  <si>
    <t xml:space="preserve">Chrome extension (MV3) build: detailed timeline</t>
  </si>
  <si>
    <t xml:space="preserve">All 16 build steps finish by Thursday Oct 15, 2026. Oct 16 to Nov 1 is acceptance buffer, included in the fixed price.</t>
  </si>
  <si>
    <t xml:space="preserve">Step</t>
  </si>
  <si>
    <t xml:space="preserve">Functionality</t>
  </si>
  <si>
    <t xml:space="preserve">What gets built</t>
  </si>
  <si>
    <t xml:space="preserve">Done when (acceptance check)</t>
  </si>
  <si>
    <t xml:space="preserve">Start</t>
  </si>
  <si>
    <t xml:space="preserve">End</t>
  </si>
  <si>
    <t xml:space="preserve">Depends on</t>
  </si>
  <si>
    <t xml:space="preserve">Deliverable</t>
  </si>
  <si>
    <t xml:space="preserve">Needs from you</t>
  </si>
  <si>
    <t xml:space="preserve">S01</t>
  </si>
  <si>
    <t xml:space="preserve">Deterministic build and pinned toolchain</t>
  </si>
  <si>
    <t xml:space="preserve">Zero-dependency build script; Node pinned (.nvmrc, engines); LF and BOM normalization; file-type allowlist; stored zip with fixed timestamps and order</t>
  </si>
  <si>
    <t xml:space="preserve">Two builds on different machines produce identical SHA256SUMS and an identical zip</t>
  </si>
  <si>
    <t xml:space="preserve">scripts/build.mjs, release/SHA256SUMS</t>
  </si>
  <si>
    <t xml:space="preserve">Add me to the GitHub repo, or I create it and transfer ownership to you</t>
  </si>
  <si>
    <t xml:space="preserve">S02</t>
  </si>
  <si>
    <t xml:space="preserve">Hash list and reproducibility check in CI</t>
  </si>
  <si>
    <t xml:space="preserve">sha256sum-compatible hash list; PR workflow builds twice in separate folders and compares; hash list uploaded as an artifact</t>
  </si>
  <si>
    <t xml:space="preserve">A PR fails if the two builds differ by a single byte</t>
  </si>
  <si>
    <t xml:space="preserve">.github/workflows/pr.yml</t>
  </si>
  <si>
    <t xml:space="preserve">S03</t>
  </si>
  <si>
    <t xml:space="preserve">Three trust tiers with short-lived tokens</t>
  </si>
  <si>
    <t xml:space="preserve">PR jobs get no id-token at all; staging and release environments; required reviewer on release; OIDC sub claim customized to repo + environment + workflow file; actions pinned to commit SHAs</t>
  </si>
  <si>
    <t xml:space="preserve">A PR job cannot obtain any cloud token; a staging token cannot assume the release role</t>
  </si>
  <si>
    <t xml:space="preserve">Workflow permissions, environment settings, sub-claim config</t>
  </si>
  <si>
    <t xml:space="preserve">Approve the environment and reviewer settings I send (10 minutes)</t>
  </si>
  <si>
    <t xml:space="preserve">S04</t>
  </si>
  <si>
    <t xml:space="preserve">Signed-tag release gate</t>
  </si>
  <si>
    <t xml:space="preserve">Annotated SSH-signed tag whose message is the hash list; allowed signers read from the protected release environment; tag must equal manifest version; clean rebuild compared file for file</t>
  </si>
  <si>
    <t xml:space="preserve">Unsigned tag, unknown key, late code change or wrong version each stop the release (automated tests)</t>
  </si>
  <si>
    <t xml:space="preserve">S01, S03</t>
  </si>
  <si>
    <t xml:space="preserve">scripts/verify-tag.mjs, release.yml gate job</t>
  </si>
  <si>
    <t xml:space="preserve">Send the public SSH key(s) of whoever signs releases</t>
  </si>
  <si>
    <t xml:space="preserve">S05</t>
  </si>
  <si>
    <t xml:space="preserve">MV3 shell with minimum permissions</t>
  </si>
  <si>
    <t xml:space="preserve">Manifest with activeTab and scripting only; one host permission (your backend); CSP connect-src locked to the backend; module service worker; popup; on-demand injection, no static content scripts</t>
  </si>
  <si>
    <t xml:space="preserve">chrome.storage does not exist at runtime; a fetch to any other origin is blocked by CSP (browser test)</t>
  </si>
  <si>
    <t xml:space="preserve">extension/manifest.json, background.js, popup</t>
  </si>
  <si>
    <t xml:space="preserve">S06</t>
  </si>
  <si>
    <t xml:space="preserve">Ticket handoff and backend fetch</t>
  </si>
  <si>
    <t xml:space="preserve">Web app sends a short-lived ticket via externally_connectable; sender origin checked; ticket kept in memory only; active tab must match the ticket's portal; fetch with no-store, no credentials, no redirects; response shape validated</t>
  </si>
  <si>
    <t xml:space="preserve">Wrong site, expired ticket and messages from other sites are refused, and nothing is filled</t>
  </si>
  <si>
    <t xml:space="preserve">Ticket flow + integration contract note</t>
  </si>
  <si>
    <t xml:space="preserve">Ticket and fill-values API contract (from the AWS engineer)</t>
  </si>
  <si>
    <t xml:space="preserve">S07</t>
  </si>
  <si>
    <t xml:space="preserve">Field discovery on third-party pages</t>
  </si>
  <si>
    <t xml:space="preserve">Signals from labels, aria-labelledby, aria-label, placeholder, title, name/id, autocomplete; open shadow roots; visibility; fillable field kinds; embedded frames counted and reported</t>
  </si>
  <si>
    <t xml:space="preserve">Every field in the sample portals, including shadow DOM, is discovered with the right signals</t>
  </si>
  <si>
    <t xml:space="preserve">collect() in fill-engine.js</t>
  </si>
  <si>
    <t xml:space="preserve">List of target portals, plus test pages or test accounts</t>
  </si>
  <si>
    <t xml:space="preserve">S08</t>
  </si>
  <si>
    <t xml:space="preserve">Exact-one-match-or-skip matcher</t>
  </si>
  <si>
    <t xml:space="preserve">Candidate set per value; two-way uniqueness (one value, one field); explicit skip reasons; matching rules frozen and shipped inside the signed extension</t>
  </si>
  <si>
    <t xml:space="preserve">Ambiguous, shared-field and no-match cases fill nothing (unit tests)</t>
  </si>
  <si>
    <t xml:space="preserve">plan() in fill-engine.js, field-rules.js</t>
  </si>
  <si>
    <t xml:space="preserve">S09</t>
  </si>
  <si>
    <t xml:space="preserve">Value safety checks</t>
  </si>
  <si>
    <t xml:space="preserve">maxlength, pattern, input type, single matching select option, date format only when the field states it, never overwrite, read-only and disabled, passwords and files excluded, backend value format</t>
  </si>
  <si>
    <t xml:space="preserve">Each rule has a passing unit test that proves the skip</t>
  </si>
  <si>
    <t xml:space="preserve">valueFor() and rules</t>
  </si>
  <si>
    <t xml:space="preserve">S10</t>
  </si>
  <si>
    <t xml:space="preserve">Fill writer and review highlights</t>
  </si>
  <si>
    <t xml:space="preserve">Native value setters plus input and change events (works with React and Angular forms); read-back; filled fields outlined solid, ambiguous ones dashed; clear highlights; never submits or clicks</t>
  </si>
  <si>
    <t xml:space="preserve">Values survive the page re-rendering; the submit counter stays at zero (browser test)</t>
  </si>
  <si>
    <t xml:space="preserve">write(), mark(), clearMarks()</t>
  </si>
  <si>
    <t xml:space="preserve">CP1</t>
  </si>
  <si>
    <t xml:space="preserve">Weekly checkpoint 1 (written)</t>
  </si>
  <si>
    <t xml:space="preserve">What's done, what's next, decisions needed, explicit actions for you</t>
  </si>
  <si>
    <t xml:space="preserve">Sent Friday Oct 9</t>
  </si>
  <si>
    <t xml:space="preserve">Written update</t>
  </si>
  <si>
    <t xml:space="preserve">Read and answer any decisions listed</t>
  </si>
  <si>
    <t xml:space="preserve">S11</t>
  </si>
  <si>
    <t xml:space="preserve">Zero-storage and zero-logging enforcement</t>
  </si>
  <si>
    <t xml:space="preserve">Policy gate in CI (storage, logging, submission, dynamic code, network egress, permissions, CSP); worker strips reports to statuses and reasons; errors as codes, never messages with data</t>
  </si>
  <si>
    <t xml:space="preserve">The gate fails on each injected violation (tests) and passes on the release build</t>
  </si>
  <si>
    <t xml:space="preserve">scripts/check-policy.mjs</t>
  </si>
  <si>
    <t xml:space="preserve">S12</t>
  </si>
  <si>
    <t xml:space="preserve">Unit test suite</t>
  </si>
  <si>
    <t xml:space="preserve">Matcher fixtures from real portal patterns; hash list; build determinism incl. Windows line endings; zip and CRX parsing; policy gate</t>
  </si>
  <si>
    <t xml:space="preserve">All green in CI on every PR</t>
  </si>
  <si>
    <t xml:space="preserve">S08, S09, S11</t>
  </si>
  <si>
    <t xml:space="preserve">test/*.test.mjs</t>
  </si>
  <si>
    <t xml:space="preserve">S13</t>
  </si>
  <si>
    <t xml:space="preserve">Real-browser tests</t>
  </si>
  <si>
    <t xml:space="preserve">Playwright on real Chromium with the exact release files; extension loaded unpacked; full ticket to fill chain against a local HTTPS mirror of the backend origin</t>
  </si>
  <si>
    <t xml:space="preserve">All green in CI; values never appear in the popup report</t>
  </si>
  <si>
    <t xml:space="preserve">S10, S12</t>
  </si>
  <si>
    <t xml:space="preserve">e2e/*.spec.mjs</t>
  </si>
  <si>
    <t xml:space="preserve">S14</t>
  </si>
  <si>
    <t xml:space="preserve">Staging pipeline and Web Store upload</t>
  </si>
  <si>
    <t xml:space="preserve">GitHub OIDC to Google Workload Identity Federation to a service account; Chrome Web Store API v2 upload to the staging item; first submission early to start the review clock</t>
  </si>
  <si>
    <t xml:space="preserve">Staging upload runs from CI with no stored secret</t>
  </si>
  <si>
    <t xml:space="preserve">staging.yml, setup commands</t>
  </si>
  <si>
    <t xml:space="preserve">Chrome Web Store developer account and item; Google Cloud project (I send the exact commands)</t>
  </si>
  <si>
    <t xml:space="preserve">S15</t>
  </si>
  <si>
    <t xml:space="preserve">Published-package verifier</t>
  </si>
  <si>
    <t xml:space="preserve">Downloads the CRX the store serves; parses CRX3; hashes every file; compares with the signed list; store additions handled by an explicit, printed allowlist</t>
  </si>
  <si>
    <t xml:space="preserve">Passes on the store's package; fails on any other difference (tests)</t>
  </si>
  <si>
    <t xml:space="preserve">S04, S14</t>
  </si>
  <si>
    <t xml:space="preserve">scripts/verify-webstore.mjs, scheduled job</t>
  </si>
  <si>
    <t xml:space="preserve">S16</t>
  </si>
  <si>
    <t xml:space="preserve">Install procedure and runbooks</t>
  </si>
  <si>
    <t xml:space="preserve">Install: Web Store listing, managed install by policy, unpacked for testing; release runbook; your-side checklist</t>
  </si>
  <si>
    <t xml:space="preserve">Someone other than me can cut a release from the runbook</t>
  </si>
  <si>
    <t xml:space="preserve">docs/INSTALL.md, docs/RELEASE.md</t>
  </si>
  <si>
    <t xml:space="preserve">R1</t>
  </si>
  <si>
    <t xml:space="preserve">End-to-end release dry run</t>
  </si>
  <si>
    <t xml:space="preserve">Sign tag, run the gate, upload to staging, verify the package</t>
  </si>
  <si>
    <t xml:space="preserve">One full release completes from a signed tag with no manual edits</t>
  </si>
  <si>
    <t xml:space="preserve">S04, S14, S15</t>
  </si>
  <si>
    <t xml:space="preserve">Dry-run log</t>
  </si>
  <si>
    <t xml:space="preserve">R2</t>
  </si>
  <si>
    <t xml:space="preserve">Acceptance run against your written criteria</t>
  </si>
  <si>
    <t xml:space="preserve">Walk all 16 steps' acceptance criteria and fix anything that falls short</t>
  </si>
  <si>
    <t xml:space="preserve">Every criterion marked pass with evidence</t>
  </si>
  <si>
    <t xml:space="preserve">All</t>
  </si>
  <si>
    <t xml:space="preserve">Acceptance checklist with evidence</t>
  </si>
  <si>
    <t xml:space="preserve">Review the checklist</t>
  </si>
  <si>
    <t xml:space="preserve">CP2</t>
  </si>
  <si>
    <t xml:space="preserve">Working build handover and checkpoint 2</t>
  </si>
  <si>
    <t xml:space="preserve">Recorded walkthrough, written update, what remains for Nov 1</t>
  </si>
  <si>
    <t xml:space="preserve">Working build delivered Thursday Oct 15</t>
  </si>
  <si>
    <t xml:space="preserve">R1, R2</t>
  </si>
  <si>
    <t xml:space="preserve">Walkthrough video + written update</t>
  </si>
  <si>
    <t xml:space="preserve">Acceptance review (Oct 16 to Nov 1)</t>
  </si>
  <si>
    <t xml:space="preserve">B1</t>
  </si>
  <si>
    <t xml:space="preserve">Buffer</t>
  </si>
  <si>
    <t xml:space="preserve">Acceptance window until the hard deadline</t>
  </si>
  <si>
    <t xml:space="preserve">Your review, Web Store review turnaround, fixes from acceptance. Included in the fixed price.</t>
  </si>
  <si>
    <t xml:space="preserve">Published, verified build by Nov 1</t>
  </si>
  <si>
    <t xml:space="preserve">Final release</t>
  </si>
  <si>
    <t xml:space="preserve">Total hours</t>
  </si>
  <si>
    <t xml:space="preserve">Blue numbers are estimates you can edit; every total in this workbook recalculates from them. "incl." = included in the fixed price, no extra hours billed.</t>
  </si>
  <si>
    <t xml:space="preserve">Gantt: Oct 5 to Nov 1, 2026</t>
  </si>
  <si>
    <t xml:space="preserve">Bars are drawn by formula from the Start and End dates on the Timeline sheet. Grey columns are weekends.</t>
  </si>
  <si>
    <t xml:space="preserve">Legend</t>
  </si>
  <si>
    <t xml:space="preserve">What I need from you, and when</t>
  </si>
  <si>
    <t xml:space="preserve">Everything on your side, in date order. Mark Done with an x as you go (yellow cells).</t>
  </si>
  <si>
    <t xml:space="preserve">Needed by</t>
  </si>
  <si>
    <t xml:space="preserve">Action</t>
  </si>
  <si>
    <t xml:space="preserve">Why it matters</t>
  </si>
  <si>
    <t xml:space="preserve">Time for you</t>
  </si>
  <si>
    <t xml:space="preserve">Done</t>
  </si>
  <si>
    <t xml:space="preserve">Add me to the GitHub repository (or approve my transfer of a new one)</t>
  </si>
  <si>
    <t xml:space="preserve">CI, environments and branch rules live there</t>
  </si>
  <si>
    <t xml:space="preserve">5 min</t>
  </si>
  <si>
    <t xml:space="preserve">Approve the staging and release environment settings I send, and name the release reviewer</t>
  </si>
  <si>
    <t xml:space="preserve">Release jobs wait for this reviewer</t>
  </si>
  <si>
    <t xml:space="preserve">10 min</t>
  </si>
  <si>
    <t xml:space="preserve">Send the public SSH key of each person allowed to sign releases</t>
  </si>
  <si>
    <t xml:space="preserve">The release gate only trusts these keys</t>
  </si>
  <si>
    <t xml:space="preserve">Share the ticket and fill-values API contract (from the AWS engineer)</t>
  </si>
  <si>
    <t xml:space="preserve">The extension's only network call depends on it</t>
  </si>
  <si>
    <t xml:space="preserve">Forward a doc</t>
  </si>
  <si>
    <t xml:space="preserve">List the target portals, with test pages or test accounts if they exist</t>
  </si>
  <si>
    <t xml:space="preserve">Matching rules are tuned against real forms</t>
  </si>
  <si>
    <t xml:space="preserve">20 min</t>
  </si>
  <si>
    <t xml:space="preserve">Read checkpoint 1 and answer any decisions in it</t>
  </si>
  <si>
    <t xml:space="preserve">Keeps week two unblocked</t>
  </si>
  <si>
    <t xml:space="preserve">Create or confirm the Chrome Web Store developer account and staging item</t>
  </si>
  <si>
    <t xml:space="preserve">Needed before the first upload (one-time US$5 fee)</t>
  </si>
  <si>
    <t xml:space="preserve">15 min</t>
  </si>
  <si>
    <t xml:space="preserve">Create a Google Cloud project, or let me run the setup commands I send</t>
  </si>
  <si>
    <t xml:space="preserve">Workload Identity Federation for keyless publishing</t>
  </si>
  <si>
    <t xml:space="preserve">Review the working build and the acceptance checklist</t>
  </si>
  <si>
    <t xml:space="preserve">Starts the acceptance window</t>
  </si>
  <si>
    <t xml:space="preserve">1 to 2 hours</t>
  </si>
  <si>
    <t xml:space="preserve">Example: type x in Done once an action is complete.</t>
  </si>
  <si>
    <t xml:space="preserve">Actions done</t>
  </si>
  <si>
    <t xml:space="preserve">Assumptions that would change the number</t>
  </si>
  <si>
    <t xml:space="preserve">If any of these turns out different, this is what it does to the estimate.</t>
  </si>
  <si>
    <t xml:space="preserve">Assumption</t>
  </si>
  <si>
    <t xml:space="preserve">If it turns out different</t>
  </si>
  <si>
    <t xml:space="preserve">Impact on estimate</t>
  </si>
  <si>
    <t xml:space="preserve">The 16 written steps match this breakdown in scope</t>
  </si>
  <si>
    <t xml:space="preserve">Re-estimate within a day of reading them</t>
  </si>
  <si>
    <t xml:space="preserve">up to +16 h</t>
  </si>
  <si>
    <t xml:space="preserve">The ticket and fill-values API exists or is stubbed by Oct 7</t>
  </si>
  <si>
    <t xml:space="preserve">I write the contract and a stub with the AWS engineer</t>
  </si>
  <si>
    <t xml:space="preserve">+6 to 8 h</t>
  </si>
  <si>
    <t xml:space="preserve">Up to about 10 target portals with ordinary HTML forms</t>
  </si>
  <si>
    <t xml:space="preserve">Each heavily scripted or multi-step portal needs its own fixtures and rules</t>
  </si>
  <si>
    <t xml:space="preserve">+2 to 4 h per portal</t>
  </si>
  <si>
    <t xml:space="preserve">Fields are in the top page or open shadow roots, not cross-origin frames</t>
  </si>
  <si>
    <t xml:space="preserve">Frame support means per-frame injection and matching</t>
  </si>
  <si>
    <t xml:space="preserve">+8 h</t>
  </si>
  <si>
    <t xml:space="preserve">Matching rules ship inside the extension (signed with each release)</t>
  </si>
  <si>
    <t xml:space="preserve">If rules come from the backend per portal, they need their own signing and review path</t>
  </si>
  <si>
    <t xml:space="preserve">+10 h</t>
  </si>
  <si>
    <t xml:space="preserve">Chrome only (Edge works from the same package)</t>
  </si>
  <si>
    <t xml:space="preserve">Firefox needs a second manifest and build target</t>
  </si>
  <si>
    <t xml:space="preserve">+12 h</t>
  </si>
  <si>
    <t xml:space="preserve">'Stores nothing' allows the in-memory ticket in the service worker</t>
  </si>
  <si>
    <t xml:space="preserve">If even that is out, the web app must hand over the ticket at fill time</t>
  </si>
  <si>
    <t xml:space="preserve">+4 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</si>
</sst>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"/>
    <numFmt numFmtId="167" formatCode="ddd\ mmm\ d"/>
    <numFmt numFmtId="168" formatCode="0.0"/>
    <numFmt numFmtId="169" formatCode="0.0%"/>
    <numFmt numFmtId="170" formatCode="0;\-0;&quot;incl.&quot;"/>
    <numFmt numFmtId="171" formatCode="d"/>
    <numFmt numFmtId="172" formatCode="mmm\ 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2033"/>
      <name val="Arial"/>
      <family val="0"/>
      <charset val="1"/>
    </font>
    <font>
      <sz val="10"/>
      <color rgb="FF5A64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033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478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7203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A64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B42318"/>
      <name val="Arial"/>
      <family val="0"/>
      <charset val="1"/>
    </font>
    <font>
      <sz val="8"/>
      <color rgb="FF5A6478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72033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9D5F0"/>
        <bgColor rgb="FFD9CFEA"/>
      </patternFill>
    </fill>
    <fill>
      <patternFill patternType="solid">
        <fgColor rgb="FFD9CFEA"/>
        <bgColor rgb="FFC9D5F0"/>
      </patternFill>
    </fill>
    <fill>
      <patternFill patternType="solid">
        <fgColor rgb="FFCDE8DE"/>
        <bgColor rgb="FFD9DEE7"/>
      </patternFill>
    </fill>
    <fill>
      <patternFill patternType="solid">
        <fgColor rgb="FFA9D8C5"/>
        <bgColor rgb="FFC9D5F0"/>
      </patternFill>
    </fill>
    <fill>
      <patternFill patternType="solid">
        <fgColor rgb="FFF2DFC6"/>
        <bgColor rgb="FFF5D0CC"/>
      </patternFill>
    </fill>
    <fill>
      <patternFill patternType="solid">
        <fgColor rgb="FFE3E6EC"/>
        <bgColor rgb="FFE6E8EC"/>
      </patternFill>
    </fill>
    <fill>
      <patternFill patternType="solid">
        <fgColor rgb="FFF5D0CC"/>
        <bgColor rgb="FFF2DFC6"/>
      </patternFill>
    </fill>
    <fill>
      <patternFill patternType="solid">
        <fgColor rgb="FFE6E8EC"/>
        <bgColor rgb="FFE3E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720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8C5"/>
          <bgColor rgb="FF000000"/>
        </patternFill>
      </fill>
    </dxf>
    <dxf>
      <fill>
        <patternFill patternType="solid">
          <fgColor rgb="FFC9D5F0"/>
          <bgColor rgb="FF000000"/>
        </patternFill>
      </fill>
    </dxf>
    <dxf>
      <fill>
        <patternFill patternType="solid">
          <fgColor rgb="FFCDE8DE"/>
          <bgColor rgb="FF000000"/>
        </patternFill>
      </fill>
    </dxf>
    <dxf>
      <fill>
        <patternFill patternType="solid">
          <fgColor rgb="FFD9CFEA"/>
          <bgColor rgb="FF000000"/>
        </patternFill>
      </fill>
    </dxf>
    <dxf>
      <fill>
        <patternFill patternType="solid">
          <fgColor rgb="FFE3E6EC"/>
          <bgColor rgb="FF000000"/>
        </patternFill>
      </fill>
    </dxf>
    <dxf>
      <fill>
        <patternFill patternType="solid">
          <fgColor rgb="FFE6E8EC"/>
          <bgColor rgb="FF000000"/>
        </patternFill>
      </fill>
    </dxf>
    <dxf>
      <fill>
        <patternFill patternType="solid">
          <fgColor rgb="FFF2DFC6"/>
          <bgColor rgb="FF000000"/>
        </patternFill>
      </fill>
    </dxf>
    <dxf>
      <fill>
        <patternFill patternType="solid">
          <fgColor rgb="FFF5D0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9D5F0"/>
        </patternFill>
      </fill>
    </dxf>
    <dxf>
      <fill>
        <patternFill>
          <bgColor rgb="FFD9CFEA"/>
        </patternFill>
      </fill>
    </dxf>
    <dxf>
      <fill>
        <patternFill>
          <bgColor rgb="FFCDE8DE"/>
        </patternFill>
      </fill>
    </dxf>
    <dxf>
      <fill>
        <patternFill>
          <bgColor rgb="FFA9D8C5"/>
        </patternFill>
      </fill>
    </dxf>
    <dxf>
      <fill>
        <patternFill>
          <bgColor rgb="FFF2DFC6"/>
        </patternFill>
      </fill>
    </dxf>
    <dxf>
      <fill>
        <patternFill>
          <bgColor rgb="FFE3E6EC"/>
        </patternFill>
      </fill>
    </dxf>
    <dxf>
      <fill>
        <patternFill>
          <bgColor rgb="FFF5D0CC"/>
        </patternFill>
      </fill>
    </dxf>
    <dxf>
      <fill>
        <patternFill>
          <bgColor rgb="FFE6E8EC"/>
        </patternFill>
      </fill>
    </dxf>
    <dxf>
      <fill>
        <patternFill>
          <bgColor rgb="FFEEF0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8C5"/>
      <rgbColor rgb="FF808080"/>
      <rgbColor rgb="FF9999FF"/>
      <rgbColor rgb="FF993366"/>
      <rgbColor rgb="FFEEF0F3"/>
      <rgbColor rgb="FFE6E8EC"/>
      <rgbColor rgb="FF660066"/>
      <rgbColor rgb="FFFF8080"/>
      <rgbColor rgb="FF0066CC"/>
      <rgbColor rgb="FFC9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6EC"/>
      <rgbColor rgb="FFCDE8DE"/>
      <rgbColor rgb="FFF2DFC6"/>
      <rgbColor rgb="FFD9CFEA"/>
      <rgbColor rgb="FFFF99CC"/>
      <rgbColor rgb="FFD9DEE7"/>
      <rgbColor rgb="FFF5D0CC"/>
      <rgbColor rgb="FF3366FF"/>
      <rgbColor rgb="FF33CCCC"/>
      <rgbColor rgb="FF99CC00"/>
      <rgbColor rgb="FFFFCC00"/>
      <rgbColor rgb="FFFF9900"/>
      <rgbColor rgb="FFFF6600"/>
      <rgbColor rgb="FF5A6478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45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f aca="false">Timeline!H26</f>
        <v>72</v>
      </c>
      <c r="C6" s="6" t="s">
        <v>8</v>
      </c>
    </row>
    <row r="7" customFormat="false" ht="15" hidden="false" customHeight="false" outlineLevel="0" collapsed="false">
      <c r="A7" s="4" t="s">
        <v>9</v>
      </c>
      <c r="B7" s="8" t="n">
        <f aca="false">B5*B6</f>
        <v>3240</v>
      </c>
      <c r="C7" s="6" t="s">
        <v>10</v>
      </c>
    </row>
    <row r="8" customFormat="false" ht="15" hidden="false" customHeight="false" outlineLevel="0" collapsed="false">
      <c r="A8" s="4" t="s">
        <v>11</v>
      </c>
      <c r="B8" s="9" t="n">
        <v>46300</v>
      </c>
    </row>
    <row r="9" customFormat="false" ht="15" hidden="false" customHeight="false" outlineLevel="0" collapsed="false">
      <c r="A9" s="4" t="s">
        <v>12</v>
      </c>
      <c r="B9" s="9" t="n">
        <v>46310</v>
      </c>
    </row>
    <row r="10" customFormat="false" ht="15" hidden="false" customHeight="false" outlineLevel="0" collapsed="false">
      <c r="A10" s="4" t="s">
        <v>13</v>
      </c>
      <c r="B10" s="9" t="n">
        <v>46327</v>
      </c>
    </row>
    <row r="11" customFormat="false" ht="15" hidden="false" customHeight="false" outlineLevel="0" collapsed="false">
      <c r="A11" s="4" t="s">
        <v>14</v>
      </c>
      <c r="B11" s="10" t="n">
        <f aca="false">NETWORKDAYS(B8,B9)</f>
        <v>9</v>
      </c>
    </row>
    <row r="12" customFormat="false" ht="15" hidden="false" customHeight="false" outlineLevel="0" collapsed="false">
      <c r="A12" s="4" t="s">
        <v>15</v>
      </c>
      <c r="B12" s="11" t="n">
        <f aca="false">IFERROR(B6/B11,0)</f>
        <v>8</v>
      </c>
    </row>
    <row r="13" customFormat="false" ht="15" hidden="false" customHeight="false" outlineLevel="0" collapsed="false">
      <c r="A13" s="4" t="s">
        <v>16</v>
      </c>
      <c r="B13" s="10" t="n">
        <f aca="false">B10-B9</f>
        <v>17</v>
      </c>
      <c r="C13" s="6" t="s">
        <v>17</v>
      </c>
    </row>
    <row r="15" customFormat="false" ht="15" hidden="false" customHeight="false" outlineLevel="0" collapsed="false">
      <c r="A15" s="12" t="s">
        <v>18</v>
      </c>
    </row>
    <row r="16" customFormat="false" ht="30" hidden="false" customHeight="true" outlineLevel="0" collapsed="false">
      <c r="A16" s="3" t="s">
        <v>19</v>
      </c>
      <c r="B16" s="3" t="s">
        <v>20</v>
      </c>
      <c r="C16" s="3" t="s">
        <v>21</v>
      </c>
    </row>
    <row r="17" customFormat="false" ht="15" hidden="false" customHeight="false" outlineLevel="0" collapsed="false">
      <c r="A17" s="13" t="s">
        <v>22</v>
      </c>
      <c r="B17" s="14" t="n">
        <f aca="false">SUMIFS(Timeline!$H$5:$H$25,Timeline!$B$5:$B$25,A17)</f>
        <v>20</v>
      </c>
      <c r="C17" s="15" t="n">
        <f aca="false">IFERROR(B17/$B$6,0)</f>
        <v>0.277777777777778</v>
      </c>
    </row>
    <row r="18" customFormat="false" ht="15" hidden="false" customHeight="false" outlineLevel="0" collapsed="false">
      <c r="A18" s="16" t="s">
        <v>23</v>
      </c>
      <c r="B18" s="14" t="n">
        <f aca="false">SUMIFS(Timeline!$H$5:$H$25,Timeline!$B$5:$B$25,A18)</f>
        <v>8</v>
      </c>
      <c r="C18" s="15" t="n">
        <f aca="false">IFERROR(B18/$B$6,0)</f>
        <v>0.111111111111111</v>
      </c>
    </row>
    <row r="19" customFormat="false" ht="15" hidden="false" customHeight="false" outlineLevel="0" collapsed="false">
      <c r="A19" s="17" t="s">
        <v>24</v>
      </c>
      <c r="B19" s="14" t="n">
        <f aca="false">SUMIFS(Timeline!$H$5:$H$25,Timeline!$B$5:$B$25,A19)</f>
        <v>8</v>
      </c>
      <c r="C19" s="15" t="n">
        <f aca="false">IFERROR(B19/$B$6,0)</f>
        <v>0.111111111111111</v>
      </c>
    </row>
    <row r="20" customFormat="false" ht="15" hidden="false" customHeight="false" outlineLevel="0" collapsed="false">
      <c r="A20" s="18" t="s">
        <v>25</v>
      </c>
      <c r="B20" s="14" t="n">
        <f aca="false">SUMIFS(Timeline!$H$5:$H$25,Timeline!$B$5:$B$25,A20)</f>
        <v>19</v>
      </c>
      <c r="C20" s="15" t="n">
        <f aca="false">IFERROR(B20/$B$6,0)</f>
        <v>0.263888888888889</v>
      </c>
    </row>
    <row r="21" customFormat="false" ht="15" hidden="false" customHeight="false" outlineLevel="0" collapsed="false">
      <c r="A21" s="19" t="s">
        <v>26</v>
      </c>
      <c r="B21" s="14" t="n">
        <f aca="false">SUMIFS(Timeline!$H$5:$H$25,Timeline!$B$5:$B$25,A21)</f>
        <v>11</v>
      </c>
      <c r="C21" s="15" t="n">
        <f aca="false">IFERROR(B21/$B$6,0)</f>
        <v>0.152777777777778</v>
      </c>
    </row>
    <row r="22" customFormat="false" ht="15" hidden="false" customHeight="false" outlineLevel="0" collapsed="false">
      <c r="A22" s="20" t="s">
        <v>27</v>
      </c>
      <c r="B22" s="14" t="n">
        <f aca="false">SUMIFS(Timeline!$H$5:$H$25,Timeline!$B$5:$B$25,A22)</f>
        <v>3</v>
      </c>
      <c r="C22" s="15" t="n">
        <f aca="false">IFERROR(B22/$B$6,0)</f>
        <v>0.0416666666666667</v>
      </c>
    </row>
    <row r="23" customFormat="false" ht="15" hidden="false" customHeight="false" outlineLevel="0" collapsed="false">
      <c r="A23" s="21" t="s">
        <v>28</v>
      </c>
      <c r="B23" s="14" t="n">
        <f aca="false">SUMIFS(Timeline!$H$5:$H$25,Timeline!$B$5:$B$25,A23)</f>
        <v>3</v>
      </c>
      <c r="C23" s="15" t="n">
        <f aca="false">IFERROR(B23/$B$6,0)</f>
        <v>0.0416666666666667</v>
      </c>
    </row>
    <row r="24" customFormat="false" ht="15" hidden="false" customHeight="false" outlineLevel="0" collapsed="false">
      <c r="A24" s="22" t="s">
        <v>29</v>
      </c>
      <c r="B24" s="23" t="str">
        <f aca="false">IF(SUM(B17:B23)=B6,"OK","Mismatch")</f>
        <v>OK</v>
      </c>
    </row>
    <row r="26" customFormat="false" ht="15" hidden="false" customHeight="false" outlineLevel="0" collapsed="false">
      <c r="A26" s="2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18.5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0" hidden="false" customHeight="true" outlineLevel="0" collapsed="false">
      <c r="A4" s="3" t="s">
        <v>33</v>
      </c>
      <c r="B4" s="3" t="s">
        <v>19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20</v>
      </c>
      <c r="I4" s="3" t="s">
        <v>39</v>
      </c>
      <c r="J4" s="3" t="s">
        <v>40</v>
      </c>
      <c r="K4" s="3" t="s">
        <v>41</v>
      </c>
    </row>
    <row r="5" customFormat="false" ht="35.05" hidden="false" customHeight="false" outlineLevel="0" collapsed="false">
      <c r="A5" s="25" t="s">
        <v>42</v>
      </c>
      <c r="B5" s="26" t="s">
        <v>22</v>
      </c>
      <c r="C5" s="27" t="s">
        <v>43</v>
      </c>
      <c r="D5" s="25" t="s">
        <v>44</v>
      </c>
      <c r="E5" s="25" t="s">
        <v>45</v>
      </c>
      <c r="F5" s="28" t="n">
        <v>46300</v>
      </c>
      <c r="G5" s="28" t="n">
        <v>46300</v>
      </c>
      <c r="H5" s="29" t="n">
        <v>4</v>
      </c>
      <c r="I5" s="25"/>
      <c r="J5" s="25" t="s">
        <v>46</v>
      </c>
      <c r="K5" s="25" t="s">
        <v>47</v>
      </c>
    </row>
    <row r="6" customFormat="false" ht="23.85" hidden="false" customHeight="false" outlineLevel="0" collapsed="false">
      <c r="A6" s="25" t="s">
        <v>48</v>
      </c>
      <c r="B6" s="26" t="s">
        <v>22</v>
      </c>
      <c r="C6" s="27" t="s">
        <v>49</v>
      </c>
      <c r="D6" s="25" t="s">
        <v>50</v>
      </c>
      <c r="E6" s="25" t="s">
        <v>51</v>
      </c>
      <c r="F6" s="28" t="n">
        <v>46300</v>
      </c>
      <c r="G6" s="28" t="n">
        <v>46300</v>
      </c>
      <c r="H6" s="29" t="n">
        <v>4</v>
      </c>
      <c r="I6" s="25" t="s">
        <v>42</v>
      </c>
      <c r="J6" s="25" t="s">
        <v>52</v>
      </c>
      <c r="K6" s="25"/>
    </row>
    <row r="7" customFormat="false" ht="35.05" hidden="false" customHeight="false" outlineLevel="0" collapsed="false">
      <c r="A7" s="25" t="s">
        <v>53</v>
      </c>
      <c r="B7" s="30" t="s">
        <v>23</v>
      </c>
      <c r="C7" s="27" t="s">
        <v>54</v>
      </c>
      <c r="D7" s="25" t="s">
        <v>55</v>
      </c>
      <c r="E7" s="25" t="s">
        <v>56</v>
      </c>
      <c r="F7" s="28" t="n">
        <v>46301</v>
      </c>
      <c r="G7" s="28" t="n">
        <v>46301</v>
      </c>
      <c r="H7" s="29" t="n">
        <v>4</v>
      </c>
      <c r="I7" s="25" t="s">
        <v>48</v>
      </c>
      <c r="J7" s="25" t="s">
        <v>57</v>
      </c>
      <c r="K7" s="25" t="s">
        <v>58</v>
      </c>
    </row>
    <row r="8" customFormat="false" ht="35.05" hidden="false" customHeight="false" outlineLevel="0" collapsed="false">
      <c r="A8" s="25" t="s">
        <v>59</v>
      </c>
      <c r="B8" s="26" t="s">
        <v>22</v>
      </c>
      <c r="C8" s="27" t="s">
        <v>60</v>
      </c>
      <c r="D8" s="25" t="s">
        <v>61</v>
      </c>
      <c r="E8" s="25" t="s">
        <v>62</v>
      </c>
      <c r="F8" s="28" t="n">
        <v>46301</v>
      </c>
      <c r="G8" s="28" t="n">
        <v>46301</v>
      </c>
      <c r="H8" s="29" t="n">
        <v>4</v>
      </c>
      <c r="I8" s="25" t="s">
        <v>63</v>
      </c>
      <c r="J8" s="25" t="s">
        <v>64</v>
      </c>
      <c r="K8" s="25" t="s">
        <v>65</v>
      </c>
    </row>
    <row r="9" customFormat="false" ht="35.05" hidden="false" customHeight="false" outlineLevel="0" collapsed="false">
      <c r="A9" s="25" t="s">
        <v>66</v>
      </c>
      <c r="B9" s="31" t="s">
        <v>24</v>
      </c>
      <c r="C9" s="27" t="s">
        <v>67</v>
      </c>
      <c r="D9" s="25" t="s">
        <v>68</v>
      </c>
      <c r="E9" s="25" t="s">
        <v>69</v>
      </c>
      <c r="F9" s="28" t="n">
        <v>46302</v>
      </c>
      <c r="G9" s="28" t="n">
        <v>46302</v>
      </c>
      <c r="H9" s="29" t="n">
        <v>4</v>
      </c>
      <c r="I9" s="25" t="s">
        <v>42</v>
      </c>
      <c r="J9" s="25" t="s">
        <v>70</v>
      </c>
      <c r="K9" s="25"/>
    </row>
    <row r="10" customFormat="false" ht="46.25" hidden="false" customHeight="false" outlineLevel="0" collapsed="false">
      <c r="A10" s="25" t="s">
        <v>71</v>
      </c>
      <c r="B10" s="31" t="s">
        <v>24</v>
      </c>
      <c r="C10" s="27" t="s">
        <v>72</v>
      </c>
      <c r="D10" s="25" t="s">
        <v>73</v>
      </c>
      <c r="E10" s="25" t="s">
        <v>74</v>
      </c>
      <c r="F10" s="28" t="n">
        <v>46302</v>
      </c>
      <c r="G10" s="28" t="n">
        <v>46302</v>
      </c>
      <c r="H10" s="29" t="n">
        <v>4</v>
      </c>
      <c r="I10" s="25" t="s">
        <v>66</v>
      </c>
      <c r="J10" s="25" t="s">
        <v>75</v>
      </c>
      <c r="K10" s="25" t="s">
        <v>76</v>
      </c>
    </row>
    <row r="11" customFormat="false" ht="35.05" hidden="false" customHeight="false" outlineLevel="0" collapsed="false">
      <c r="A11" s="25" t="s">
        <v>77</v>
      </c>
      <c r="B11" s="32" t="s">
        <v>25</v>
      </c>
      <c r="C11" s="27" t="s">
        <v>78</v>
      </c>
      <c r="D11" s="25" t="s">
        <v>79</v>
      </c>
      <c r="E11" s="25" t="s">
        <v>80</v>
      </c>
      <c r="F11" s="28" t="n">
        <v>46303</v>
      </c>
      <c r="G11" s="28" t="n">
        <v>46303</v>
      </c>
      <c r="H11" s="29" t="n">
        <v>4</v>
      </c>
      <c r="I11" s="25" t="s">
        <v>66</v>
      </c>
      <c r="J11" s="25" t="s">
        <v>81</v>
      </c>
      <c r="K11" s="25" t="s">
        <v>82</v>
      </c>
    </row>
    <row r="12" customFormat="false" ht="35.05" hidden="false" customHeight="false" outlineLevel="0" collapsed="false">
      <c r="A12" s="25" t="s">
        <v>83</v>
      </c>
      <c r="B12" s="32" t="s">
        <v>25</v>
      </c>
      <c r="C12" s="27" t="s">
        <v>84</v>
      </c>
      <c r="D12" s="25" t="s">
        <v>85</v>
      </c>
      <c r="E12" s="25" t="s">
        <v>86</v>
      </c>
      <c r="F12" s="28" t="n">
        <v>46303</v>
      </c>
      <c r="G12" s="28" t="n">
        <v>46303</v>
      </c>
      <c r="H12" s="29" t="n">
        <v>4</v>
      </c>
      <c r="I12" s="25" t="s">
        <v>77</v>
      </c>
      <c r="J12" s="25" t="s">
        <v>87</v>
      </c>
      <c r="K12" s="25"/>
    </row>
    <row r="13" customFormat="false" ht="35.05" hidden="false" customHeight="false" outlineLevel="0" collapsed="false">
      <c r="A13" s="25" t="s">
        <v>88</v>
      </c>
      <c r="B13" s="32" t="s">
        <v>25</v>
      </c>
      <c r="C13" s="27" t="s">
        <v>89</v>
      </c>
      <c r="D13" s="25" t="s">
        <v>90</v>
      </c>
      <c r="E13" s="25" t="s">
        <v>91</v>
      </c>
      <c r="F13" s="28" t="n">
        <v>46304</v>
      </c>
      <c r="G13" s="28" t="n">
        <v>46304</v>
      </c>
      <c r="H13" s="29" t="n">
        <v>4</v>
      </c>
      <c r="I13" s="25" t="s">
        <v>83</v>
      </c>
      <c r="J13" s="25" t="s">
        <v>92</v>
      </c>
      <c r="K13" s="25"/>
    </row>
    <row r="14" customFormat="false" ht="35.05" hidden="false" customHeight="false" outlineLevel="0" collapsed="false">
      <c r="A14" s="25" t="s">
        <v>93</v>
      </c>
      <c r="B14" s="32" t="s">
        <v>25</v>
      </c>
      <c r="C14" s="27" t="s">
        <v>94</v>
      </c>
      <c r="D14" s="25" t="s">
        <v>95</v>
      </c>
      <c r="E14" s="25" t="s">
        <v>96</v>
      </c>
      <c r="F14" s="28" t="n">
        <v>46304</v>
      </c>
      <c r="G14" s="28" t="n">
        <v>46304</v>
      </c>
      <c r="H14" s="29" t="n">
        <v>3</v>
      </c>
      <c r="I14" s="25" t="s">
        <v>83</v>
      </c>
      <c r="J14" s="25" t="s">
        <v>97</v>
      </c>
      <c r="K14" s="25"/>
    </row>
    <row r="15" customFormat="false" ht="15" hidden="false" customHeight="false" outlineLevel="0" collapsed="false">
      <c r="A15" s="25" t="s">
        <v>98</v>
      </c>
      <c r="B15" s="33" t="s">
        <v>28</v>
      </c>
      <c r="C15" s="27" t="s">
        <v>99</v>
      </c>
      <c r="D15" s="25" t="s">
        <v>100</v>
      </c>
      <c r="E15" s="25" t="s">
        <v>101</v>
      </c>
      <c r="F15" s="28" t="n">
        <v>46304</v>
      </c>
      <c r="G15" s="28" t="n">
        <v>46304</v>
      </c>
      <c r="H15" s="29" t="n">
        <v>1</v>
      </c>
      <c r="I15" s="25"/>
      <c r="J15" s="25" t="s">
        <v>102</v>
      </c>
      <c r="K15" s="25" t="s">
        <v>103</v>
      </c>
    </row>
    <row r="16" customFormat="false" ht="35.05" hidden="false" customHeight="false" outlineLevel="0" collapsed="false">
      <c r="A16" s="25" t="s">
        <v>104</v>
      </c>
      <c r="B16" s="32" t="s">
        <v>25</v>
      </c>
      <c r="C16" s="27" t="s">
        <v>105</v>
      </c>
      <c r="D16" s="25" t="s">
        <v>106</v>
      </c>
      <c r="E16" s="25" t="s">
        <v>107</v>
      </c>
      <c r="F16" s="28" t="n">
        <v>46307</v>
      </c>
      <c r="G16" s="28" t="n">
        <v>46307</v>
      </c>
      <c r="H16" s="29" t="n">
        <v>4</v>
      </c>
      <c r="I16" s="25" t="s">
        <v>66</v>
      </c>
      <c r="J16" s="25" t="s">
        <v>108</v>
      </c>
      <c r="K16" s="25"/>
    </row>
    <row r="17" customFormat="false" ht="23.85" hidden="false" customHeight="false" outlineLevel="0" collapsed="false">
      <c r="A17" s="25" t="s">
        <v>109</v>
      </c>
      <c r="B17" s="34" t="s">
        <v>26</v>
      </c>
      <c r="C17" s="27" t="s">
        <v>110</v>
      </c>
      <c r="D17" s="25" t="s">
        <v>111</v>
      </c>
      <c r="E17" s="25" t="s">
        <v>112</v>
      </c>
      <c r="F17" s="28" t="n">
        <v>46307</v>
      </c>
      <c r="G17" s="28" t="n">
        <v>46307</v>
      </c>
      <c r="H17" s="29" t="n">
        <v>4</v>
      </c>
      <c r="I17" s="25" t="s">
        <v>113</v>
      </c>
      <c r="J17" s="25" t="s">
        <v>114</v>
      </c>
      <c r="K17" s="25"/>
    </row>
    <row r="18" customFormat="false" ht="35.05" hidden="false" customHeight="false" outlineLevel="0" collapsed="false">
      <c r="A18" s="25" t="s">
        <v>115</v>
      </c>
      <c r="B18" s="34" t="s">
        <v>26</v>
      </c>
      <c r="C18" s="27" t="s">
        <v>116</v>
      </c>
      <c r="D18" s="25" t="s">
        <v>117</v>
      </c>
      <c r="E18" s="25" t="s">
        <v>118</v>
      </c>
      <c r="F18" s="28" t="n">
        <v>46308</v>
      </c>
      <c r="G18" s="28" t="n">
        <v>46308</v>
      </c>
      <c r="H18" s="29" t="n">
        <v>4</v>
      </c>
      <c r="I18" s="25" t="s">
        <v>119</v>
      </c>
      <c r="J18" s="25" t="s">
        <v>120</v>
      </c>
      <c r="K18" s="25"/>
    </row>
    <row r="19" customFormat="false" ht="35.05" hidden="false" customHeight="false" outlineLevel="0" collapsed="false">
      <c r="A19" s="25" t="s">
        <v>121</v>
      </c>
      <c r="B19" s="30" t="s">
        <v>23</v>
      </c>
      <c r="C19" s="27" t="s">
        <v>122</v>
      </c>
      <c r="D19" s="25" t="s">
        <v>123</v>
      </c>
      <c r="E19" s="25" t="s">
        <v>124</v>
      </c>
      <c r="F19" s="28" t="n">
        <v>46308</v>
      </c>
      <c r="G19" s="28" t="n">
        <v>46308</v>
      </c>
      <c r="H19" s="29" t="n">
        <v>4</v>
      </c>
      <c r="I19" s="25" t="s">
        <v>53</v>
      </c>
      <c r="J19" s="25" t="s">
        <v>125</v>
      </c>
      <c r="K19" s="25" t="s">
        <v>126</v>
      </c>
    </row>
    <row r="20" customFormat="false" ht="35.05" hidden="false" customHeight="false" outlineLevel="0" collapsed="false">
      <c r="A20" s="25" t="s">
        <v>127</v>
      </c>
      <c r="B20" s="26" t="s">
        <v>22</v>
      </c>
      <c r="C20" s="27" t="s">
        <v>128</v>
      </c>
      <c r="D20" s="25" t="s">
        <v>129</v>
      </c>
      <c r="E20" s="25" t="s">
        <v>130</v>
      </c>
      <c r="F20" s="28" t="n">
        <v>46309</v>
      </c>
      <c r="G20" s="28" t="n">
        <v>46309</v>
      </c>
      <c r="H20" s="29" t="n">
        <v>5</v>
      </c>
      <c r="I20" s="25" t="s">
        <v>131</v>
      </c>
      <c r="J20" s="25" t="s">
        <v>132</v>
      </c>
      <c r="K20" s="25"/>
    </row>
    <row r="21" customFormat="false" ht="23.85" hidden="false" customHeight="false" outlineLevel="0" collapsed="false">
      <c r="A21" s="25" t="s">
        <v>133</v>
      </c>
      <c r="B21" s="35" t="s">
        <v>27</v>
      </c>
      <c r="C21" s="27" t="s">
        <v>134</v>
      </c>
      <c r="D21" s="25" t="s">
        <v>135</v>
      </c>
      <c r="E21" s="25" t="s">
        <v>136</v>
      </c>
      <c r="F21" s="28" t="n">
        <v>46309</v>
      </c>
      <c r="G21" s="28" t="n">
        <v>46309</v>
      </c>
      <c r="H21" s="29" t="n">
        <v>3</v>
      </c>
      <c r="I21" s="25" t="s">
        <v>127</v>
      </c>
      <c r="J21" s="25" t="s">
        <v>137</v>
      </c>
      <c r="K21" s="25"/>
    </row>
    <row r="22" customFormat="false" ht="23.85" hidden="false" customHeight="false" outlineLevel="0" collapsed="false">
      <c r="A22" s="25" t="s">
        <v>138</v>
      </c>
      <c r="B22" s="26" t="s">
        <v>22</v>
      </c>
      <c r="C22" s="27" t="s">
        <v>139</v>
      </c>
      <c r="D22" s="25" t="s">
        <v>140</v>
      </c>
      <c r="E22" s="25" t="s">
        <v>141</v>
      </c>
      <c r="F22" s="28" t="n">
        <v>46310</v>
      </c>
      <c r="G22" s="28" t="n">
        <v>46310</v>
      </c>
      <c r="H22" s="29" t="n">
        <v>3</v>
      </c>
      <c r="I22" s="25" t="s">
        <v>142</v>
      </c>
      <c r="J22" s="25" t="s">
        <v>143</v>
      </c>
      <c r="K22" s="25"/>
    </row>
    <row r="23" customFormat="false" ht="23.85" hidden="false" customHeight="false" outlineLevel="0" collapsed="false">
      <c r="A23" s="25" t="s">
        <v>144</v>
      </c>
      <c r="B23" s="34" t="s">
        <v>26</v>
      </c>
      <c r="C23" s="27" t="s">
        <v>145</v>
      </c>
      <c r="D23" s="25" t="s">
        <v>146</v>
      </c>
      <c r="E23" s="25" t="s">
        <v>147</v>
      </c>
      <c r="F23" s="28" t="n">
        <v>46310</v>
      </c>
      <c r="G23" s="28" t="n">
        <v>46310</v>
      </c>
      <c r="H23" s="29" t="n">
        <v>3</v>
      </c>
      <c r="I23" s="25" t="s">
        <v>148</v>
      </c>
      <c r="J23" s="25" t="s">
        <v>149</v>
      </c>
      <c r="K23" s="25" t="s">
        <v>150</v>
      </c>
    </row>
    <row r="24" customFormat="false" ht="23.85" hidden="false" customHeight="false" outlineLevel="0" collapsed="false">
      <c r="A24" s="25" t="s">
        <v>151</v>
      </c>
      <c r="B24" s="33" t="s">
        <v>28</v>
      </c>
      <c r="C24" s="27" t="s">
        <v>152</v>
      </c>
      <c r="D24" s="25" t="s">
        <v>153</v>
      </c>
      <c r="E24" s="25" t="s">
        <v>154</v>
      </c>
      <c r="F24" s="28" t="n">
        <v>46310</v>
      </c>
      <c r="G24" s="28" t="n">
        <v>46310</v>
      </c>
      <c r="H24" s="29" t="n">
        <v>2</v>
      </c>
      <c r="I24" s="25" t="s">
        <v>155</v>
      </c>
      <c r="J24" s="25" t="s">
        <v>156</v>
      </c>
      <c r="K24" s="25" t="s">
        <v>157</v>
      </c>
    </row>
    <row r="25" customFormat="false" ht="23.85" hidden="false" customHeight="false" outlineLevel="0" collapsed="false">
      <c r="A25" s="25" t="s">
        <v>158</v>
      </c>
      <c r="B25" s="36" t="s">
        <v>159</v>
      </c>
      <c r="C25" s="27" t="s">
        <v>160</v>
      </c>
      <c r="D25" s="25" t="s">
        <v>161</v>
      </c>
      <c r="E25" s="25" t="s">
        <v>162</v>
      </c>
      <c r="F25" s="28" t="n">
        <v>46311</v>
      </c>
      <c r="G25" s="28" t="n">
        <v>46327</v>
      </c>
      <c r="H25" s="29" t="n">
        <v>0</v>
      </c>
      <c r="I25" s="25" t="s">
        <v>151</v>
      </c>
      <c r="J25" s="25" t="s">
        <v>163</v>
      </c>
      <c r="K25" s="25"/>
    </row>
    <row r="26" customFormat="false" ht="15" hidden="false" customHeight="false" outlineLevel="0" collapsed="false">
      <c r="A26" s="37"/>
      <c r="B26" s="37"/>
      <c r="C26" s="37"/>
      <c r="D26" s="37"/>
      <c r="E26" s="37"/>
      <c r="F26" s="37"/>
      <c r="G26" s="38" t="s">
        <v>164</v>
      </c>
      <c r="H26" s="38" t="n">
        <f aca="false">SUM(H5:H25)</f>
        <v>72</v>
      </c>
      <c r="I26" s="37"/>
      <c r="J26" s="37"/>
      <c r="K26" s="37"/>
    </row>
    <row r="28" customFormat="false" ht="15" hidden="false" customHeight="false" outlineLevel="0" collapsed="false">
      <c r="A28" s="22" t="s">
        <v>165</v>
      </c>
    </row>
  </sheetData>
  <autoFilter ref="A4:K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34" min="7" style="0" width="4.2"/>
  </cols>
  <sheetData>
    <row r="1" customFormat="false" ht="18.5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  <c r="Q2" s="39" t="s">
        <v>12</v>
      </c>
      <c r="AH2" s="39" t="s">
        <v>13</v>
      </c>
    </row>
    <row r="3" customFormat="false" ht="15" hidden="false" customHeight="false" outlineLevel="0" collapsed="false">
      <c r="G3" s="40" t="str">
        <f aca="false">LEFT(TEXT(G4,"ddd"),2)</f>
        <v>Mo</v>
      </c>
      <c r="H3" s="40" t="str">
        <f aca="false">LEFT(TEXT(H4,"ddd"),2)</f>
        <v>Tu</v>
      </c>
      <c r="I3" s="40" t="str">
        <f aca="false">LEFT(TEXT(I4,"ddd"),2)</f>
        <v>We</v>
      </c>
      <c r="J3" s="40" t="str">
        <f aca="false">LEFT(TEXT(J4,"ddd"),2)</f>
        <v>Th</v>
      </c>
      <c r="K3" s="40" t="str">
        <f aca="false">LEFT(TEXT(K4,"ddd"),2)</f>
        <v>Fr</v>
      </c>
      <c r="L3" s="40" t="str">
        <f aca="false">LEFT(TEXT(L4,"ddd"),2)</f>
        <v>Sa</v>
      </c>
      <c r="M3" s="40" t="str">
        <f aca="false">LEFT(TEXT(M4,"ddd"),2)</f>
        <v>Su</v>
      </c>
      <c r="N3" s="40" t="str">
        <f aca="false">LEFT(TEXT(N4,"ddd"),2)</f>
        <v>Mo</v>
      </c>
      <c r="O3" s="40" t="str">
        <f aca="false">LEFT(TEXT(O4,"ddd"),2)</f>
        <v>Tu</v>
      </c>
      <c r="P3" s="40" t="str">
        <f aca="false">LEFT(TEXT(P4,"ddd"),2)</f>
        <v>We</v>
      </c>
      <c r="Q3" s="40" t="str">
        <f aca="false">LEFT(TEXT(Q4,"ddd"),2)</f>
        <v>Th</v>
      </c>
      <c r="R3" s="40" t="str">
        <f aca="false">LEFT(TEXT(R4,"ddd"),2)</f>
        <v>Fr</v>
      </c>
      <c r="S3" s="40" t="str">
        <f aca="false">LEFT(TEXT(S4,"ddd"),2)</f>
        <v>Sa</v>
      </c>
      <c r="T3" s="40" t="str">
        <f aca="false">LEFT(TEXT(T4,"ddd"),2)</f>
        <v>Su</v>
      </c>
      <c r="U3" s="40" t="str">
        <f aca="false">LEFT(TEXT(U4,"ddd"),2)</f>
        <v>Mo</v>
      </c>
      <c r="V3" s="40" t="str">
        <f aca="false">LEFT(TEXT(V4,"ddd"),2)</f>
        <v>Tu</v>
      </c>
      <c r="W3" s="40" t="str">
        <f aca="false">LEFT(TEXT(W4,"ddd"),2)</f>
        <v>We</v>
      </c>
      <c r="X3" s="40" t="str">
        <f aca="false">LEFT(TEXT(X4,"ddd"),2)</f>
        <v>Th</v>
      </c>
      <c r="Y3" s="40" t="str">
        <f aca="false">LEFT(TEXT(Y4,"ddd"),2)</f>
        <v>Fr</v>
      </c>
      <c r="Z3" s="40" t="str">
        <f aca="false">LEFT(TEXT(Z4,"ddd"),2)</f>
        <v>Sa</v>
      </c>
      <c r="AA3" s="40" t="str">
        <f aca="false">LEFT(TEXT(AA4,"ddd"),2)</f>
        <v>Su</v>
      </c>
      <c r="AB3" s="40" t="str">
        <f aca="false">LEFT(TEXT(AB4,"ddd"),2)</f>
        <v>Mo</v>
      </c>
      <c r="AC3" s="40" t="str">
        <f aca="false">LEFT(TEXT(AC4,"ddd"),2)</f>
        <v>Tu</v>
      </c>
      <c r="AD3" s="40" t="str">
        <f aca="false">LEFT(TEXT(AD4,"ddd"),2)</f>
        <v>We</v>
      </c>
      <c r="AE3" s="40" t="str">
        <f aca="false">LEFT(TEXT(AE4,"ddd"),2)</f>
        <v>Th</v>
      </c>
      <c r="AF3" s="40" t="str">
        <f aca="false">LEFT(TEXT(AF4,"ddd"),2)</f>
        <v>Fr</v>
      </c>
      <c r="AG3" s="40" t="str">
        <f aca="false">LEFT(TEXT(AG4,"ddd"),2)</f>
        <v>Sa</v>
      </c>
      <c r="AH3" s="40" t="str">
        <f aca="false">LEFT(TEXT(AH4,"ddd"),2)</f>
        <v>Su</v>
      </c>
    </row>
    <row r="4" customFormat="false" ht="30" hidden="false" customHeight="true" outlineLevel="0" collapsed="false">
      <c r="A4" s="3" t="s">
        <v>33</v>
      </c>
      <c r="B4" s="3" t="s">
        <v>19</v>
      </c>
      <c r="C4" s="3" t="s">
        <v>34</v>
      </c>
      <c r="D4" s="3" t="s">
        <v>37</v>
      </c>
      <c r="E4" s="3" t="s">
        <v>38</v>
      </c>
      <c r="F4" s="3" t="s">
        <v>20</v>
      </c>
      <c r="G4" s="41" t="n">
        <v>46300</v>
      </c>
      <c r="H4" s="42" t="n">
        <f aca="false">G4+1</f>
        <v>46301</v>
      </c>
      <c r="I4" s="42" t="n">
        <f aca="false">H4+1</f>
        <v>46302</v>
      </c>
      <c r="J4" s="42" t="n">
        <f aca="false">I4+1</f>
        <v>46303</v>
      </c>
      <c r="K4" s="42" t="n">
        <f aca="false">J4+1</f>
        <v>46304</v>
      </c>
      <c r="L4" s="42" t="n">
        <f aca="false">K4+1</f>
        <v>46305</v>
      </c>
      <c r="M4" s="42" t="n">
        <f aca="false">L4+1</f>
        <v>46306</v>
      </c>
      <c r="N4" s="42" t="n">
        <f aca="false">M4+1</f>
        <v>46307</v>
      </c>
      <c r="O4" s="42" t="n">
        <f aca="false">N4+1</f>
        <v>46308</v>
      </c>
      <c r="P4" s="42" t="n">
        <f aca="false">O4+1</f>
        <v>46309</v>
      </c>
      <c r="Q4" s="42" t="n">
        <f aca="false">P4+1</f>
        <v>46310</v>
      </c>
      <c r="R4" s="42" t="n">
        <f aca="false">Q4+1</f>
        <v>46311</v>
      </c>
      <c r="S4" s="42" t="n">
        <f aca="false">R4+1</f>
        <v>46312</v>
      </c>
      <c r="T4" s="42" t="n">
        <f aca="false">S4+1</f>
        <v>46313</v>
      </c>
      <c r="U4" s="42" t="n">
        <f aca="false">T4+1</f>
        <v>46314</v>
      </c>
      <c r="V4" s="42" t="n">
        <f aca="false">U4+1</f>
        <v>46315</v>
      </c>
      <c r="W4" s="42" t="n">
        <f aca="false">V4+1</f>
        <v>46316</v>
      </c>
      <c r="X4" s="42" t="n">
        <f aca="false">W4+1</f>
        <v>46317</v>
      </c>
      <c r="Y4" s="42" t="n">
        <f aca="false">X4+1</f>
        <v>46318</v>
      </c>
      <c r="Z4" s="42" t="n">
        <f aca="false">Y4+1</f>
        <v>46319</v>
      </c>
      <c r="AA4" s="42" t="n">
        <f aca="false">Z4+1</f>
        <v>46320</v>
      </c>
      <c r="AB4" s="42" t="n">
        <f aca="false">AA4+1</f>
        <v>46321</v>
      </c>
      <c r="AC4" s="42" t="n">
        <f aca="false">AB4+1</f>
        <v>46322</v>
      </c>
      <c r="AD4" s="42" t="n">
        <f aca="false">AC4+1</f>
        <v>46323</v>
      </c>
      <c r="AE4" s="42" t="n">
        <f aca="false">AD4+1</f>
        <v>46324</v>
      </c>
      <c r="AF4" s="42" t="n">
        <f aca="false">AE4+1</f>
        <v>46325</v>
      </c>
      <c r="AG4" s="42" t="n">
        <f aca="false">AF4+1</f>
        <v>46326</v>
      </c>
      <c r="AH4" s="42" t="n">
        <f aca="false">AG4+1</f>
        <v>46327</v>
      </c>
    </row>
    <row r="5" customFormat="false" ht="15" hidden="false" customHeight="false" outlineLevel="0" collapsed="false">
      <c r="A5" s="43" t="str">
        <f aca="false">Timeline!A5</f>
        <v>S01</v>
      </c>
      <c r="B5" s="43" t="str">
        <f aca="false">Timeline!B5</f>
        <v>Release engineering</v>
      </c>
      <c r="C5" s="43" t="str">
        <f aca="false">Timeline!C5</f>
        <v>Deterministic build and pinned toolchain</v>
      </c>
      <c r="D5" s="44" t="n">
        <f aca="false">Timeline!F5</f>
        <v>46300</v>
      </c>
      <c r="E5" s="44" t="n">
        <f aca="false">Timeline!G5</f>
        <v>46300</v>
      </c>
      <c r="F5" s="45" t="n">
        <f aca="false">Timeline!H5</f>
        <v>4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customFormat="false" ht="15" hidden="false" customHeight="false" outlineLevel="0" collapsed="false">
      <c r="A6" s="43" t="str">
        <f aca="false">Timeline!A6</f>
        <v>S02</v>
      </c>
      <c r="B6" s="43" t="str">
        <f aca="false">Timeline!B6</f>
        <v>Release engineering</v>
      </c>
      <c r="C6" s="43" t="str">
        <f aca="false">Timeline!C6</f>
        <v>Hash list and reproducibility check in CI</v>
      </c>
      <c r="D6" s="44" t="n">
        <f aca="false">Timeline!F6</f>
        <v>46300</v>
      </c>
      <c r="E6" s="44" t="n">
        <f aca="false">Timeline!G6</f>
        <v>46300</v>
      </c>
      <c r="F6" s="45" t="n">
        <f aca="false">Timeline!H6</f>
        <v>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customFormat="false" ht="15" hidden="false" customHeight="false" outlineLevel="0" collapsed="false">
      <c r="A7" s="43" t="str">
        <f aca="false">Timeline!A7</f>
        <v>S03</v>
      </c>
      <c r="B7" s="43" t="str">
        <f aca="false">Timeline!B7</f>
        <v>CI and trust</v>
      </c>
      <c r="C7" s="43" t="str">
        <f aca="false">Timeline!C7</f>
        <v>Three trust tiers with short-lived tokens</v>
      </c>
      <c r="D7" s="44" t="n">
        <f aca="false">Timeline!F7</f>
        <v>46301</v>
      </c>
      <c r="E7" s="44" t="n">
        <f aca="false">Timeline!G7</f>
        <v>46301</v>
      </c>
      <c r="F7" s="45" t="n">
        <f aca="false">Timeline!H7</f>
        <v>4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customFormat="false" ht="15" hidden="false" customHeight="false" outlineLevel="0" collapsed="false">
      <c r="A8" s="43" t="str">
        <f aca="false">Timeline!A8</f>
        <v>S04</v>
      </c>
      <c r="B8" s="43" t="str">
        <f aca="false">Timeline!B8</f>
        <v>Release engineering</v>
      </c>
      <c r="C8" s="43" t="str">
        <f aca="false">Timeline!C8</f>
        <v>Signed-tag release gate</v>
      </c>
      <c r="D8" s="44" t="n">
        <f aca="false">Timeline!F8</f>
        <v>46301</v>
      </c>
      <c r="E8" s="44" t="n">
        <f aca="false">Timeline!G8</f>
        <v>46301</v>
      </c>
      <c r="F8" s="45" t="n">
        <f aca="false">Timeline!H8</f>
        <v>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customFormat="false" ht="15" hidden="false" customHeight="false" outlineLevel="0" collapsed="false">
      <c r="A9" s="43" t="str">
        <f aca="false">Timeline!A9</f>
        <v>S05</v>
      </c>
      <c r="B9" s="43" t="str">
        <f aca="false">Timeline!B9</f>
        <v>Extension</v>
      </c>
      <c r="C9" s="43" t="str">
        <f aca="false">Timeline!C9</f>
        <v>MV3 shell with minimum permissions</v>
      </c>
      <c r="D9" s="44" t="n">
        <f aca="false">Timeline!F9</f>
        <v>46302</v>
      </c>
      <c r="E9" s="44" t="n">
        <f aca="false">Timeline!G9</f>
        <v>46302</v>
      </c>
      <c r="F9" s="45" t="n">
        <f aca="false">Timeline!H9</f>
        <v>4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customFormat="false" ht="15" hidden="false" customHeight="false" outlineLevel="0" collapsed="false">
      <c r="A10" s="43" t="str">
        <f aca="false">Timeline!A10</f>
        <v>S06</v>
      </c>
      <c r="B10" s="43" t="str">
        <f aca="false">Timeline!B10</f>
        <v>Extension</v>
      </c>
      <c r="C10" s="43" t="str">
        <f aca="false">Timeline!C10</f>
        <v>Ticket handoff and backend fetch</v>
      </c>
      <c r="D10" s="44" t="n">
        <f aca="false">Timeline!F10</f>
        <v>46302</v>
      </c>
      <c r="E10" s="44" t="n">
        <f aca="false">Timeline!G10</f>
        <v>46302</v>
      </c>
      <c r="F10" s="45" t="n">
        <f aca="false">Timeline!H10</f>
        <v>4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customFormat="false" ht="15" hidden="false" customHeight="false" outlineLevel="0" collapsed="false">
      <c r="A11" s="43" t="str">
        <f aca="false">Timeline!A11</f>
        <v>S07</v>
      </c>
      <c r="B11" s="43" t="str">
        <f aca="false">Timeline!B11</f>
        <v>Safety layer</v>
      </c>
      <c r="C11" s="43" t="str">
        <f aca="false">Timeline!C11</f>
        <v>Field discovery on third-party pages</v>
      </c>
      <c r="D11" s="44" t="n">
        <f aca="false">Timeline!F11</f>
        <v>46303</v>
      </c>
      <c r="E11" s="44" t="n">
        <f aca="false">Timeline!G11</f>
        <v>46303</v>
      </c>
      <c r="F11" s="45" t="n">
        <f aca="false">Timeline!H11</f>
        <v>4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customFormat="false" ht="15" hidden="false" customHeight="false" outlineLevel="0" collapsed="false">
      <c r="A12" s="43" t="str">
        <f aca="false">Timeline!A12</f>
        <v>S08</v>
      </c>
      <c r="B12" s="43" t="str">
        <f aca="false">Timeline!B12</f>
        <v>Safety layer</v>
      </c>
      <c r="C12" s="43" t="str">
        <f aca="false">Timeline!C12</f>
        <v>Exact-one-match-or-skip matcher</v>
      </c>
      <c r="D12" s="44" t="n">
        <f aca="false">Timeline!F12</f>
        <v>46303</v>
      </c>
      <c r="E12" s="44" t="n">
        <f aca="false">Timeline!G12</f>
        <v>46303</v>
      </c>
      <c r="F12" s="45" t="n">
        <f aca="false">Timeline!H12</f>
        <v>4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customFormat="false" ht="15" hidden="false" customHeight="false" outlineLevel="0" collapsed="false">
      <c r="A13" s="43" t="str">
        <f aca="false">Timeline!A13</f>
        <v>S09</v>
      </c>
      <c r="B13" s="43" t="str">
        <f aca="false">Timeline!B13</f>
        <v>Safety layer</v>
      </c>
      <c r="C13" s="43" t="str">
        <f aca="false">Timeline!C13</f>
        <v>Value safety checks</v>
      </c>
      <c r="D13" s="44" t="n">
        <f aca="false">Timeline!F13</f>
        <v>46304</v>
      </c>
      <c r="E13" s="44" t="n">
        <f aca="false">Timeline!G13</f>
        <v>46304</v>
      </c>
      <c r="F13" s="45" t="n">
        <f aca="false">Timeline!H13</f>
        <v>4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customFormat="false" ht="15" hidden="false" customHeight="false" outlineLevel="0" collapsed="false">
      <c r="A14" s="43" t="str">
        <f aca="false">Timeline!A14</f>
        <v>S10</v>
      </c>
      <c r="B14" s="43" t="str">
        <f aca="false">Timeline!B14</f>
        <v>Safety layer</v>
      </c>
      <c r="C14" s="43" t="str">
        <f aca="false">Timeline!C14</f>
        <v>Fill writer and review highlights</v>
      </c>
      <c r="D14" s="44" t="n">
        <f aca="false">Timeline!F14</f>
        <v>46304</v>
      </c>
      <c r="E14" s="44" t="n">
        <f aca="false">Timeline!G14</f>
        <v>46304</v>
      </c>
      <c r="F14" s="45" t="n">
        <f aca="false">Timeline!H14</f>
        <v>3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customFormat="false" ht="15" hidden="false" customHeight="false" outlineLevel="0" collapsed="false">
      <c r="A15" s="43" t="str">
        <f aca="false">Timeline!A15</f>
        <v>CP1</v>
      </c>
      <c r="B15" s="43" t="str">
        <f aca="false">Timeline!B15</f>
        <v>Communication</v>
      </c>
      <c r="C15" s="43" t="str">
        <f aca="false">Timeline!C15</f>
        <v>Weekly checkpoint 1 (written)</v>
      </c>
      <c r="D15" s="44" t="n">
        <f aca="false">Timeline!F15</f>
        <v>46304</v>
      </c>
      <c r="E15" s="44" t="n">
        <f aca="false">Timeline!G15</f>
        <v>46304</v>
      </c>
      <c r="F15" s="45" t="n">
        <f aca="false">Timeline!H15</f>
        <v>1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customFormat="false" ht="15" hidden="false" customHeight="false" outlineLevel="0" collapsed="false">
      <c r="A16" s="43" t="str">
        <f aca="false">Timeline!A16</f>
        <v>S11</v>
      </c>
      <c r="B16" s="43" t="str">
        <f aca="false">Timeline!B16</f>
        <v>Safety layer</v>
      </c>
      <c r="C16" s="43" t="str">
        <f aca="false">Timeline!C16</f>
        <v>Zero-storage and zero-logging enforcement</v>
      </c>
      <c r="D16" s="44" t="n">
        <f aca="false">Timeline!F16</f>
        <v>46307</v>
      </c>
      <c r="E16" s="44" t="n">
        <f aca="false">Timeline!G16</f>
        <v>46307</v>
      </c>
      <c r="F16" s="45" t="n">
        <f aca="false">Timeline!H16</f>
        <v>4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customFormat="false" ht="15" hidden="false" customHeight="false" outlineLevel="0" collapsed="false">
      <c r="A17" s="43" t="str">
        <f aca="false">Timeline!A17</f>
        <v>S12</v>
      </c>
      <c r="B17" s="43" t="str">
        <f aca="false">Timeline!B17</f>
        <v>Testing</v>
      </c>
      <c r="C17" s="43" t="str">
        <f aca="false">Timeline!C17</f>
        <v>Unit test suite</v>
      </c>
      <c r="D17" s="44" t="n">
        <f aca="false">Timeline!F17</f>
        <v>46307</v>
      </c>
      <c r="E17" s="44" t="n">
        <f aca="false">Timeline!G17</f>
        <v>46307</v>
      </c>
      <c r="F17" s="45" t="n">
        <f aca="false">Timeline!H17</f>
        <v>4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 customFormat="false" ht="15" hidden="false" customHeight="false" outlineLevel="0" collapsed="false">
      <c r="A18" s="43" t="str">
        <f aca="false">Timeline!A18</f>
        <v>S13</v>
      </c>
      <c r="B18" s="43" t="str">
        <f aca="false">Timeline!B18</f>
        <v>Testing</v>
      </c>
      <c r="C18" s="43" t="str">
        <f aca="false">Timeline!C18</f>
        <v>Real-browser tests</v>
      </c>
      <c r="D18" s="44" t="n">
        <f aca="false">Timeline!F18</f>
        <v>46308</v>
      </c>
      <c r="E18" s="44" t="n">
        <f aca="false">Timeline!G18</f>
        <v>46308</v>
      </c>
      <c r="F18" s="45" t="n">
        <f aca="false">Timeline!H18</f>
        <v>4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 customFormat="false" ht="15" hidden="false" customHeight="false" outlineLevel="0" collapsed="false">
      <c r="A19" s="43" t="str">
        <f aca="false">Timeline!A19</f>
        <v>S14</v>
      </c>
      <c r="B19" s="43" t="str">
        <f aca="false">Timeline!B19</f>
        <v>CI and trust</v>
      </c>
      <c r="C19" s="43" t="str">
        <f aca="false">Timeline!C19</f>
        <v>Staging pipeline and Web Store upload</v>
      </c>
      <c r="D19" s="44" t="n">
        <f aca="false">Timeline!F19</f>
        <v>46308</v>
      </c>
      <c r="E19" s="44" t="n">
        <f aca="false">Timeline!G19</f>
        <v>46308</v>
      </c>
      <c r="F19" s="45" t="n">
        <f aca="false">Timeline!H19</f>
        <v>4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 customFormat="false" ht="15" hidden="false" customHeight="false" outlineLevel="0" collapsed="false">
      <c r="A20" s="43" t="str">
        <f aca="false">Timeline!A20</f>
        <v>S15</v>
      </c>
      <c r="B20" s="43" t="str">
        <f aca="false">Timeline!B20</f>
        <v>Release engineering</v>
      </c>
      <c r="C20" s="43" t="str">
        <f aca="false">Timeline!C20</f>
        <v>Published-package verifier</v>
      </c>
      <c r="D20" s="44" t="n">
        <f aca="false">Timeline!F20</f>
        <v>46309</v>
      </c>
      <c r="E20" s="44" t="n">
        <f aca="false">Timeline!G20</f>
        <v>46309</v>
      </c>
      <c r="F20" s="45" t="n">
        <f aca="false">Timeline!H20</f>
        <v>5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customFormat="false" ht="15" hidden="false" customHeight="false" outlineLevel="0" collapsed="false">
      <c r="A21" s="43" t="str">
        <f aca="false">Timeline!A21</f>
        <v>S16</v>
      </c>
      <c r="B21" s="43" t="str">
        <f aca="false">Timeline!B21</f>
        <v>Docs</v>
      </c>
      <c r="C21" s="43" t="str">
        <f aca="false">Timeline!C21</f>
        <v>Install procedure and runbooks</v>
      </c>
      <c r="D21" s="44" t="n">
        <f aca="false">Timeline!F21</f>
        <v>46309</v>
      </c>
      <c r="E21" s="44" t="n">
        <f aca="false">Timeline!G21</f>
        <v>46309</v>
      </c>
      <c r="F21" s="45" t="n">
        <f aca="false">Timeline!H21</f>
        <v>3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customFormat="false" ht="15" hidden="false" customHeight="false" outlineLevel="0" collapsed="false">
      <c r="A22" s="43" t="str">
        <f aca="false">Timeline!A22</f>
        <v>R1</v>
      </c>
      <c r="B22" s="43" t="str">
        <f aca="false">Timeline!B22</f>
        <v>Release engineering</v>
      </c>
      <c r="C22" s="43" t="str">
        <f aca="false">Timeline!C22</f>
        <v>End-to-end release dry run</v>
      </c>
      <c r="D22" s="44" t="n">
        <f aca="false">Timeline!F22</f>
        <v>46310</v>
      </c>
      <c r="E22" s="44" t="n">
        <f aca="false">Timeline!G22</f>
        <v>46310</v>
      </c>
      <c r="F22" s="45" t="n">
        <f aca="false">Timeline!H22</f>
        <v>3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customFormat="false" ht="15" hidden="false" customHeight="false" outlineLevel="0" collapsed="false">
      <c r="A23" s="43" t="str">
        <f aca="false">Timeline!A23</f>
        <v>R2</v>
      </c>
      <c r="B23" s="43" t="str">
        <f aca="false">Timeline!B23</f>
        <v>Testing</v>
      </c>
      <c r="C23" s="43" t="str">
        <f aca="false">Timeline!C23</f>
        <v>Acceptance run against your written criteria</v>
      </c>
      <c r="D23" s="44" t="n">
        <f aca="false">Timeline!F23</f>
        <v>46310</v>
      </c>
      <c r="E23" s="44" t="n">
        <f aca="false">Timeline!G23</f>
        <v>46310</v>
      </c>
      <c r="F23" s="45" t="n">
        <f aca="false">Timeline!H23</f>
        <v>3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customFormat="false" ht="15" hidden="false" customHeight="false" outlineLevel="0" collapsed="false">
      <c r="A24" s="43" t="str">
        <f aca="false">Timeline!A24</f>
        <v>CP2</v>
      </c>
      <c r="B24" s="43" t="str">
        <f aca="false">Timeline!B24</f>
        <v>Communication</v>
      </c>
      <c r="C24" s="43" t="str">
        <f aca="false">Timeline!C24</f>
        <v>Working build handover and checkpoint 2</v>
      </c>
      <c r="D24" s="44" t="n">
        <f aca="false">Timeline!F24</f>
        <v>46310</v>
      </c>
      <c r="E24" s="44" t="n">
        <f aca="false">Timeline!G24</f>
        <v>46310</v>
      </c>
      <c r="F24" s="45" t="n">
        <f aca="false">Timeline!H24</f>
        <v>2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customFormat="false" ht="15" hidden="false" customHeight="false" outlineLevel="0" collapsed="false">
      <c r="A25" s="43" t="str">
        <f aca="false">Timeline!A25</f>
        <v>B1</v>
      </c>
      <c r="B25" s="43" t="str">
        <f aca="false">Timeline!B25</f>
        <v>Buffer</v>
      </c>
      <c r="C25" s="43" t="str">
        <f aca="false">Timeline!C25</f>
        <v>Acceptance window until the hard deadline</v>
      </c>
      <c r="D25" s="44" t="n">
        <f aca="false">Timeline!F25</f>
        <v>46311</v>
      </c>
      <c r="E25" s="44" t="n">
        <f aca="false">Timeline!G25</f>
        <v>46327</v>
      </c>
      <c r="F25" s="45" t="n">
        <f aca="false">Timeline!H25</f>
        <v>0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7" customFormat="false" ht="15" hidden="false" customHeight="false" outlineLevel="0" collapsed="false">
      <c r="A27" s="23" t="s">
        <v>168</v>
      </c>
    </row>
    <row r="28" customFormat="false" ht="15" hidden="false" customHeight="false" outlineLevel="0" collapsed="false">
      <c r="A28" s="46"/>
      <c r="B28" s="47" t="s">
        <v>22</v>
      </c>
    </row>
    <row r="29" customFormat="false" ht="15" hidden="false" customHeight="false" outlineLevel="0" collapsed="false">
      <c r="A29" s="48"/>
      <c r="B29" s="47" t="s">
        <v>23</v>
      </c>
    </row>
    <row r="30" customFormat="false" ht="15" hidden="false" customHeight="false" outlineLevel="0" collapsed="false">
      <c r="A30" s="49"/>
      <c r="B30" s="47" t="s">
        <v>24</v>
      </c>
    </row>
    <row r="31" customFormat="false" ht="15" hidden="false" customHeight="false" outlineLevel="0" collapsed="false">
      <c r="A31" s="50"/>
      <c r="B31" s="47" t="s">
        <v>25</v>
      </c>
    </row>
    <row r="32" customFormat="false" ht="15" hidden="false" customHeight="false" outlineLevel="0" collapsed="false">
      <c r="A32" s="51"/>
      <c r="B32" s="47" t="s">
        <v>26</v>
      </c>
    </row>
    <row r="33" customFormat="false" ht="15" hidden="false" customHeight="false" outlineLevel="0" collapsed="false">
      <c r="A33" s="52"/>
      <c r="B33" s="47" t="s">
        <v>27</v>
      </c>
    </row>
    <row r="34" customFormat="false" ht="15" hidden="false" customHeight="false" outlineLevel="0" collapsed="false">
      <c r="A34" s="53"/>
      <c r="B34" s="47" t="s">
        <v>28</v>
      </c>
    </row>
    <row r="35" customFormat="false" ht="15" hidden="false" customHeight="false" outlineLevel="0" collapsed="false">
      <c r="A35" s="54"/>
      <c r="B35" s="47" t="s">
        <v>159</v>
      </c>
    </row>
  </sheetData>
  <conditionalFormatting sqref="G5:AH25">
    <cfRule type="expression" priority="2" aboveAverage="0" equalAverage="0" bottom="0" percent="0" rank="0" text="" dxfId="12">
      <formula>AND(G$4&gt;=$D5,G$4&lt;=$E5,$B5="Release engineering")</formula>
    </cfRule>
    <cfRule type="expression" priority="3" aboveAverage="0" equalAverage="0" bottom="0" percent="0" rank="0" text="" dxfId="13">
      <formula>AND(G$4&gt;=$D5,G$4&lt;=$E5,$B5="CI and trust")</formula>
    </cfRule>
    <cfRule type="expression" priority="4" aboveAverage="0" equalAverage="0" bottom="0" percent="0" rank="0" text="" dxfId="14">
      <formula>AND(G$4&gt;=$D5,G$4&lt;=$E5,$B5="Extension")</formula>
    </cfRule>
    <cfRule type="expression" priority="5" aboveAverage="0" equalAverage="0" bottom="0" percent="0" rank="0" text="" dxfId="15">
      <formula>AND(G$4&gt;=$D5,G$4&lt;=$E5,$B5="Safety layer")</formula>
    </cfRule>
    <cfRule type="expression" priority="6" aboveAverage="0" equalAverage="0" bottom="0" percent="0" rank="0" text="" dxfId="16">
      <formula>AND(G$4&gt;=$D5,G$4&lt;=$E5,$B5="Testing")</formula>
    </cfRule>
    <cfRule type="expression" priority="7" aboveAverage="0" equalAverage="0" bottom="0" percent="0" rank="0" text="" dxfId="17">
      <formula>AND(G$4&gt;=$D5,G$4&lt;=$E5,$B5="Docs")</formula>
    </cfRule>
    <cfRule type="expression" priority="8" aboveAverage="0" equalAverage="0" bottom="0" percent="0" rank="0" text="" dxfId="18">
      <formula>AND(G$4&gt;=$D5,G$4&lt;=$E5,$B5="Communication")</formula>
    </cfRule>
    <cfRule type="expression" priority="9" aboveAverage="0" equalAverage="0" bottom="0" percent="0" rank="0" text="" dxfId="19">
      <formula>AND(G$4&gt;=$D5,G$4&lt;=$E5,$B5="Buffer")</formula>
    </cfRule>
    <cfRule type="expression" priority="10" aboveAverage="0" equalAverage="0" bottom="0" percent="0" rank="0" text="" dxfId="20">
      <formula>WEEKDAY(G$4,2)&gt;5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8.5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30" hidden="false" customHeight="true" outlineLevel="0" collapsed="false">
      <c r="A4" s="3" t="s">
        <v>171</v>
      </c>
      <c r="B4" s="3" t="s">
        <v>172</v>
      </c>
      <c r="C4" s="3" t="s">
        <v>173</v>
      </c>
      <c r="D4" s="3" t="s">
        <v>174</v>
      </c>
      <c r="E4" s="3" t="s">
        <v>175</v>
      </c>
    </row>
    <row r="5" customFormat="false" ht="15" hidden="false" customHeight="false" outlineLevel="0" collapsed="false">
      <c r="A5" s="55" t="n">
        <v>46300</v>
      </c>
      <c r="B5" s="56" t="s">
        <v>176</v>
      </c>
      <c r="C5" s="56" t="s">
        <v>177</v>
      </c>
      <c r="D5" s="56" t="s">
        <v>178</v>
      </c>
      <c r="E5" s="57"/>
    </row>
    <row r="6" customFormat="false" ht="23.85" hidden="false" customHeight="false" outlineLevel="0" collapsed="false">
      <c r="A6" s="55" t="n">
        <v>46301</v>
      </c>
      <c r="B6" s="56" t="s">
        <v>179</v>
      </c>
      <c r="C6" s="56" t="s">
        <v>180</v>
      </c>
      <c r="D6" s="56" t="s">
        <v>181</v>
      </c>
      <c r="E6" s="57"/>
    </row>
    <row r="7" customFormat="false" ht="15" hidden="false" customHeight="false" outlineLevel="0" collapsed="false">
      <c r="A7" s="55" t="n">
        <v>46301</v>
      </c>
      <c r="B7" s="56" t="s">
        <v>182</v>
      </c>
      <c r="C7" s="56" t="s">
        <v>183</v>
      </c>
      <c r="D7" s="56" t="s">
        <v>178</v>
      </c>
      <c r="E7" s="57"/>
    </row>
    <row r="8" customFormat="false" ht="15" hidden="false" customHeight="false" outlineLevel="0" collapsed="false">
      <c r="A8" s="55" t="n">
        <v>46302</v>
      </c>
      <c r="B8" s="56" t="s">
        <v>184</v>
      </c>
      <c r="C8" s="56" t="s">
        <v>185</v>
      </c>
      <c r="D8" s="56" t="s">
        <v>186</v>
      </c>
      <c r="E8" s="57"/>
    </row>
    <row r="9" customFormat="false" ht="15" hidden="false" customHeight="false" outlineLevel="0" collapsed="false">
      <c r="A9" s="55" t="n">
        <v>46303</v>
      </c>
      <c r="B9" s="56" t="s">
        <v>187</v>
      </c>
      <c r="C9" s="56" t="s">
        <v>188</v>
      </c>
      <c r="D9" s="56" t="s">
        <v>189</v>
      </c>
      <c r="E9" s="57"/>
    </row>
    <row r="10" customFormat="false" ht="15" hidden="false" customHeight="false" outlineLevel="0" collapsed="false">
      <c r="A10" s="55" t="n">
        <v>46304</v>
      </c>
      <c r="B10" s="56" t="s">
        <v>190</v>
      </c>
      <c r="C10" s="56" t="s">
        <v>191</v>
      </c>
      <c r="D10" s="56" t="s">
        <v>181</v>
      </c>
      <c r="E10" s="57"/>
    </row>
    <row r="11" customFormat="false" ht="15" hidden="false" customHeight="false" outlineLevel="0" collapsed="false">
      <c r="A11" s="55" t="n">
        <v>46307</v>
      </c>
      <c r="B11" s="56" t="s">
        <v>192</v>
      </c>
      <c r="C11" s="56" t="s">
        <v>193</v>
      </c>
      <c r="D11" s="56" t="s">
        <v>194</v>
      </c>
      <c r="E11" s="57"/>
    </row>
    <row r="12" customFormat="false" ht="15" hidden="false" customHeight="false" outlineLevel="0" collapsed="false">
      <c r="A12" s="55" t="n">
        <v>46307</v>
      </c>
      <c r="B12" s="56" t="s">
        <v>195</v>
      </c>
      <c r="C12" s="56" t="s">
        <v>196</v>
      </c>
      <c r="D12" s="56" t="s">
        <v>194</v>
      </c>
      <c r="E12" s="57"/>
    </row>
    <row r="13" customFormat="false" ht="15" hidden="false" customHeight="false" outlineLevel="0" collapsed="false">
      <c r="A13" s="55" t="n">
        <v>46310</v>
      </c>
      <c r="B13" s="56" t="s">
        <v>197</v>
      </c>
      <c r="C13" s="56" t="s">
        <v>198</v>
      </c>
      <c r="D13" s="56" t="s">
        <v>199</v>
      </c>
      <c r="E13" s="57"/>
    </row>
    <row r="15" customFormat="false" ht="15" hidden="false" customHeight="false" outlineLevel="0" collapsed="false">
      <c r="A15" s="22" t="s">
        <v>200</v>
      </c>
    </row>
    <row r="16" customFormat="false" ht="15" hidden="false" customHeight="false" outlineLevel="0" collapsed="false">
      <c r="A16" s="23" t="s">
        <v>201</v>
      </c>
      <c r="B16" s="23" t="str">
        <f aca="false">COUNTA(E5:E13)&amp;" of 9"</f>
        <v>0 of 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66"/>
    <col collapsed="false" customWidth="true" hidden="false" outlineLevel="0" max="3" min="3" style="0" width="20"/>
  </cols>
  <sheetData>
    <row r="1" customFormat="false" ht="18.5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30" hidden="false" customHeight="true" outlineLevel="0" collapsed="false">
      <c r="A4" s="3" t="s">
        <v>204</v>
      </c>
      <c r="B4" s="3" t="s">
        <v>205</v>
      </c>
      <c r="C4" s="3" t="s">
        <v>206</v>
      </c>
    </row>
    <row r="5" customFormat="false" ht="15" hidden="false" customHeight="false" outlineLevel="0" collapsed="false">
      <c r="A5" s="56" t="s">
        <v>207</v>
      </c>
      <c r="B5" s="56" t="s">
        <v>208</v>
      </c>
      <c r="C5" s="58" t="s">
        <v>209</v>
      </c>
    </row>
    <row r="6" customFormat="false" ht="15" hidden="false" customHeight="false" outlineLevel="0" collapsed="false">
      <c r="A6" s="56" t="s">
        <v>210</v>
      </c>
      <c r="B6" s="56" t="s">
        <v>211</v>
      </c>
      <c r="C6" s="58" t="s">
        <v>212</v>
      </c>
    </row>
    <row r="7" customFormat="false" ht="15" hidden="false" customHeight="false" outlineLevel="0" collapsed="false">
      <c r="A7" s="56" t="s">
        <v>213</v>
      </c>
      <c r="B7" s="56" t="s">
        <v>214</v>
      </c>
      <c r="C7" s="58" t="s">
        <v>215</v>
      </c>
    </row>
    <row r="8" customFormat="false" ht="15" hidden="false" customHeight="false" outlineLevel="0" collapsed="false">
      <c r="A8" s="56" t="s">
        <v>216</v>
      </c>
      <c r="B8" s="56" t="s">
        <v>217</v>
      </c>
      <c r="C8" s="58" t="s">
        <v>218</v>
      </c>
    </row>
    <row r="9" customFormat="false" ht="23.85" hidden="false" customHeight="false" outlineLevel="0" collapsed="false">
      <c r="A9" s="56" t="s">
        <v>219</v>
      </c>
      <c r="B9" s="56" t="s">
        <v>220</v>
      </c>
      <c r="C9" s="58" t="s">
        <v>221</v>
      </c>
    </row>
    <row r="10" customFormat="false" ht="15" hidden="false" customHeight="false" outlineLevel="0" collapsed="false">
      <c r="A10" s="56" t="s">
        <v>222</v>
      </c>
      <c r="B10" s="56" t="s">
        <v>223</v>
      </c>
      <c r="C10" s="58" t="s">
        <v>224</v>
      </c>
    </row>
    <row r="11" customFormat="false" ht="15" hidden="false" customHeight="false" outlineLevel="0" collapsed="false">
      <c r="A11" s="56" t="s">
        <v>225</v>
      </c>
      <c r="B11" s="56" t="s">
        <v>226</v>
      </c>
      <c r="C11" s="5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2026-10-01T20:36:26Z</dcterms:created>
  <dc:creator>openpyxl</dc:creator>
  <dc:description/>
  <dc:language>en-US</dc:language>
  <cp:lastModifiedBy/>
  <dcterms:modified xsi:type="dcterms:W3CDTF">2026-10-01T20:36:26Z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